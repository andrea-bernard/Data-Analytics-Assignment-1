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0975BF5-5A00-4CA1-A6B5-CB411438F4F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 a="1"/>
  <c r="I2" i="2" a="1"/>
  <c r="H2" i="2" a="1"/>
  <c r="B48" i="2"/>
  <c r="B4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B43" i="2"/>
  <c r="B42" i="2"/>
  <c r="B40" i="2"/>
  <c r="B39" i="2"/>
  <c r="B3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<sst xmlns="http://schemas.openxmlformats.org/spreadsheetml/2006/main" count="171" uniqueCount="122">
  <si>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</si>
  <si>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</si>
  <si>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</si>
  <si>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</si>
  <si>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</si>
  <si>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</si>
  <si>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</si>
  <si>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</si>
  <si>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</si>
  <si>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</si>
  <si>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</si>
  <si>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</si>
  <si>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</si>
  <si>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</si>
  <si>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</si>
  <si>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</si>
  <si>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</si>
  <si>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</si>
  <si>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</si>
  <si>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</si>
  <si>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</si>
  <si>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</si>
  <si>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</si>
  <si>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</si>
  <si>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</si>
  <si>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</si>
  <si>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</si>
  <si>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</si>
  <si>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</si>
  <si>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</si>
  <si>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</si>
  <si>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</si>
  <si>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</si>
  <si>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</si>
  <si>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</si>
  <si>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</si>
  <si>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</si>
  <si>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</si>
  <si>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</si>
  <si>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</si>
  <si>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</si>
  <si>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</si>
  <si>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</si>
  <si>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</si>
  <si>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</si>
  <si>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</si>
  <si>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</si>
  <si>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</si>
  <si>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</si>
  <si>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</si>
  <si>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</si>
  <si>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</si>
  <si>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</si>
  <si>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</si>
  <si>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</si>
  <si>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</si>
  <si>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</si>
  <si>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</si>
  <si>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</si>
  <si>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</si>
  <si>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</si>
  <si>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</si>
  <si>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</si>
  <si>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</si>
  <si>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</si>
  <si>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</si>
  <si>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</si>
  <si>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</si>
  <si>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</si>
  <si>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</si>
  <si>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</si>
  <si>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</si>
  <si>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</si>
  <si>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</si>
  <si>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</si>
  <si>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</si>
  <si>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</si>
  <si>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</si>
  <si>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</si>
  <si>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</si>
  <si>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</si>
  <si>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</si>
  <si>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</si>
  <si>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</si>
  <si>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</si>
  <si>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</si>
  <si>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</si>
  <si>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</si>
  <si>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</si>
  <si>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</si>
  <si>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</si>
  <si>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</si>
  <si>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</si>
  <si>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</si>
  <si>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</si>
  <si>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</si>
  <si>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</si>
  <si>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</si>
  <si>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</si>
  <si>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</si>
  <si>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</si>
  <si>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</si>
  <si>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</si>
  <si>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</si>
  <si>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</si>
  <si>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</si>
  <si>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</si>
  <si>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</si>
  <si>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</si>
  <si>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</si>
  <si>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=</t>
  </si>
  <si>
    <t>Toal Product =</t>
  </si>
  <si>
    <t xml:space="preserve">Average price= </t>
  </si>
  <si>
    <t xml:space="preserve">Min Price = </t>
  </si>
  <si>
    <t xml:space="preserve">Max Price = </t>
  </si>
  <si>
    <t>Price Range</t>
  </si>
  <si>
    <t xml:space="preserve">Electronics Total = </t>
  </si>
  <si>
    <t xml:space="preserve">Count less than 100= </t>
  </si>
  <si>
    <t>Day</t>
  </si>
  <si>
    <t xml:space="preserve">Country Code </t>
  </si>
  <si>
    <t xml:space="preserve">Month </t>
  </si>
  <si>
    <t xml:space="preserve">Price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</si>
</sst>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sqref="A1:XFD1048576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K14" sqref="K14"/>
    </sheetView>
  </sheetViews>
  <sheetFormatPr defaultColWidth="12.6328125" defaultRowHeight="15" customHeight="1" x14ac:dyDescent="0.25"/>
  <cols>
    <col min="1" max="1" width="17.1796875" customWidth="1"/>
    <col min="2" max="2" width="14.08984375" customWidth="1"/>
    <col min="3" max="6" width="12.6328125" customWidth="1"/>
  </cols>
  <sheetData>
    <row r="1" spans="1:10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9" t="s">
        <v>115</v>
      </c>
      <c r="H1" s="5" t="s">
        <v>118</v>
      </c>
      <c r="I1" s="5" t="s">
        <v>119</v>
      </c>
      <c r="J1" s="5" t="s">
        <v>120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IF(D2&gt;=$B$45,"High Price","Standard Price")</f>
        <v>High Price</v>
      </c>
      <c r="H2" t="str" cm="1">
        <f t="array" ref="H2:H35">LEFT(A2:A35,2)</f>
        <v>28</v>
      </c>
      <c r="I2" t="str" cm="1">
        <f t="array" ref="I2:I35">RIGHT(A2:A35,2)</f>
        <v>US</v>
      </c>
      <c r="J2" t="str" cm="1">
        <f t="array" ref="J2:J35">MID(A2:A35,4,6)</f>
        <v>JAN-US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IF(D3&gt;=$B$45,"High Price","Standard Price")</f>
        <v>Standard Price</v>
      </c>
      <c r="H3" t="str">
        <v>15</v>
      </c>
      <c r="I3" t="str">
        <v>US</v>
      </c>
      <c r="J3" t="str">
        <v>FEB-US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t="str">
        <v>03</v>
      </c>
      <c r="I4" t="str">
        <v>US</v>
      </c>
      <c r="J4" t="str">
        <v>MAR-US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t="str">
        <v>11</v>
      </c>
      <c r="I5" t="str">
        <v>US</v>
      </c>
      <c r="J5" t="str">
        <v>APR-US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t="str">
        <v>22</v>
      </c>
      <c r="I6" t="str">
        <v>US</v>
      </c>
      <c r="J6" t="str">
        <v>MAY-US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t="str">
        <v>07</v>
      </c>
      <c r="I7" t="str">
        <v>UK</v>
      </c>
      <c r="J7" t="str">
        <v>JUN-UK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t="str">
        <v>19</v>
      </c>
      <c r="I8" t="str">
        <v>UK</v>
      </c>
      <c r="J8" t="str">
        <v>JUL-UK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t="str">
        <v>23</v>
      </c>
      <c r="I9" t="str">
        <v>UK</v>
      </c>
      <c r="J9" t="str">
        <v>AUG-UK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t="str">
        <v>05</v>
      </c>
      <c r="I10" t="str">
        <v>UK</v>
      </c>
      <c r="J10" t="str">
        <v>SEP-UK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t="str">
        <v>14</v>
      </c>
      <c r="I11" t="str">
        <v>UK</v>
      </c>
      <c r="J11" t="str">
        <v>OCT-UK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t="str">
        <v>17</v>
      </c>
      <c r="I12" t="str">
        <v>IN</v>
      </c>
      <c r="J12" t="str">
        <v>JUN-IN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t="str">
        <v>25</v>
      </c>
      <c r="I13" t="str">
        <v>AU</v>
      </c>
      <c r="J13" t="str">
        <v>NOV-AU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t="str">
        <v>08</v>
      </c>
      <c r="I14" t="str">
        <v>DE</v>
      </c>
      <c r="J14" t="str">
        <v>DEC-DE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t="str">
        <v>18</v>
      </c>
      <c r="I15" t="str">
        <v>CA</v>
      </c>
      <c r="J15" t="str">
        <v>FEB-CA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t="str">
        <v>16</v>
      </c>
      <c r="I16" t="str">
        <v>ES</v>
      </c>
      <c r="J16" t="str">
        <v>APR-ES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t="str">
        <v>21</v>
      </c>
      <c r="I17" t="str">
        <v>CA</v>
      </c>
      <c r="J17" t="str">
        <v>AUG-CA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t="str">
        <v>20</v>
      </c>
      <c r="I18" t="str">
        <v>CN</v>
      </c>
      <c r="J18" t="str">
        <v>AUG-CN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t="str">
        <v>27</v>
      </c>
      <c r="I19" t="str">
        <v>IT</v>
      </c>
      <c r="J19" t="str">
        <v>JAN-IT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t="str">
        <v>01</v>
      </c>
      <c r="I20" t="str">
        <v>UK</v>
      </c>
      <c r="J20" t="str">
        <v>MAR-UK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t="str">
        <v>14</v>
      </c>
      <c r="I21" t="str">
        <v>US</v>
      </c>
      <c r="J21" t="str">
        <v>AUG-US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t="str">
        <v>14</v>
      </c>
      <c r="I22" t="str">
        <v>RU</v>
      </c>
      <c r="J22" t="str">
        <v>MAY-RU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t="str">
        <v>09</v>
      </c>
      <c r="I23" t="str">
        <v>CA</v>
      </c>
      <c r="J23" t="str">
        <v>JAN-CA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t="str">
        <v>19</v>
      </c>
      <c r="I24" t="str">
        <v>BR</v>
      </c>
      <c r="J24" t="str">
        <v>JUL-BR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t="str">
        <v>21</v>
      </c>
      <c r="I25" t="str">
        <v>CA</v>
      </c>
      <c r="J25" t="str">
        <v>AUG-CA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t="str">
        <v>29</v>
      </c>
      <c r="I26" t="str">
        <v>CA</v>
      </c>
      <c r="J26" t="str">
        <v>SEP-CA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t="str">
        <v>03</v>
      </c>
      <c r="I27" t="str">
        <v>CA</v>
      </c>
      <c r="J27" t="str">
        <v>JUN-CA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t="str">
        <v>11</v>
      </c>
      <c r="I28" t="str">
        <v>CA</v>
      </c>
      <c r="J28" t="str">
        <v>JUL-CA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t="str">
        <v>16</v>
      </c>
      <c r="I29" t="str">
        <v>ES</v>
      </c>
      <c r="J29" t="str">
        <v>APR-ES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t="str">
        <v>07</v>
      </c>
      <c r="I30" t="str">
        <v>CA</v>
      </c>
      <c r="J30" t="str">
        <v>MAR-CA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t="str">
        <v>13</v>
      </c>
      <c r="I31" t="str">
        <v>CA</v>
      </c>
      <c r="J31" t="str">
        <v>APR-CA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t="str">
        <v>24</v>
      </c>
      <c r="I32" t="str">
        <v>CA</v>
      </c>
      <c r="J32" t="str">
        <v>MAY-CA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t="str">
        <v>02</v>
      </c>
      <c r="I33" t="str">
        <v>CA</v>
      </c>
      <c r="J33" t="str">
        <v>DEC-CA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t="str">
        <v>17</v>
      </c>
      <c r="I34" t="str">
        <v>IN</v>
      </c>
      <c r="J34" t="str">
        <v>JUN-IN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t="str">
        <v>09</v>
      </c>
      <c r="I35" t="str">
        <v>FR</v>
      </c>
      <c r="J35" t="str">
        <v>JUL-FR</v>
      </c>
    </row>
    <row r="36" spans="1:10" ht="15.75" customHeight="1" x14ac:dyDescent="0.25"/>
    <row r="37" spans="1:10" ht="15.75" customHeight="1" x14ac:dyDescent="0.25"/>
    <row r="38" spans="1:10" ht="15.75" customHeight="1" x14ac:dyDescent="0.25">
      <c r="A38" s="8" t="s">
        <v>110</v>
      </c>
      <c r="B38">
        <f>SUM(D2:D35)</f>
        <v>10100</v>
      </c>
    </row>
    <row r="39" spans="1:10" ht="15.75" customHeight="1" x14ac:dyDescent="0.25">
      <c r="A39" s="8" t="s">
        <v>111</v>
      </c>
      <c r="B39">
        <f>COUNTA(B2:B35)</f>
        <v>34</v>
      </c>
    </row>
    <row r="40" spans="1:10" ht="15.75" customHeight="1" x14ac:dyDescent="0.25">
      <c r="A40" s="8" t="s">
        <v>112</v>
      </c>
      <c r="B40">
        <f>AVERAGE(D2:D35)</f>
        <v>297.05882352941177</v>
      </c>
    </row>
    <row r="41" spans="1:10" ht="15.75" customHeight="1" x14ac:dyDescent="0.25"/>
    <row r="42" spans="1:10" ht="15.75" customHeight="1" x14ac:dyDescent="0.25">
      <c r="A42" s="8" t="s">
        <v>113</v>
      </c>
      <c r="B42">
        <f>MIN(D2:D35)</f>
        <v>30</v>
      </c>
    </row>
    <row r="43" spans="1:10" ht="15.75" customHeight="1" x14ac:dyDescent="0.25">
      <c r="A43" s="8" t="s">
        <v>114</v>
      </c>
      <c r="B43">
        <f>MAX(D2:D35)</f>
        <v>1000</v>
      </c>
    </row>
    <row r="44" spans="1:10" ht="15.75" customHeight="1" x14ac:dyDescent="0.25"/>
    <row r="45" spans="1:10" ht="15.75" customHeight="1" x14ac:dyDescent="0.25">
      <c r="A45" s="8" t="s">
        <v>121</v>
      </c>
      <c r="B45">
        <v>500</v>
      </c>
      <c r="D45" s="8"/>
    </row>
    <row r="46" spans="1:10" ht="15.75" customHeight="1" x14ac:dyDescent="0.25"/>
    <row r="47" spans="1:10" ht="15.75" customHeight="1" x14ac:dyDescent="0.25">
      <c r="A47" s="8" t="s">
        <v>116</v>
      </c>
      <c r="B47">
        <f>SUMIF(F2:F35,F2,D2:D35)</f>
        <v>8050</v>
      </c>
    </row>
    <row r="48" spans="1:10" ht="15.75" customHeight="1" x14ac:dyDescent="0.25">
      <c r="A48" s="8" t="s">
        <v>117</v>
      </c>
      <c r="B48">
        <f>COUNTIF(D2:D35,"&lt;100")</f>
        <v>11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Bernard</cp:lastModifiedBy>
  <dcterms:modified xsi:type="dcterms:W3CDTF">2026-09-12T11:30:53Z</dcterms:modified>
</cp:coreProperties>
</file>